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6ac7b0b5582644/Estudo/PLANILHAS DE ESTUDO/"/>
    </mc:Choice>
  </mc:AlternateContent>
  <xr:revisionPtr revIDLastSave="21" documentId="8_{716C0311-417F-4522-A29C-6C2E5CBAF9E5}" xr6:coauthVersionLast="47" xr6:coauthVersionMax="47" xr10:uidLastSave="{C93B5FB9-04ED-4B60-AC5F-54702341F582}"/>
  <bookViews>
    <workbookView xWindow="-20490" yWindow="840" windowWidth="19800" windowHeight="10290" xr2:uid="{F1DD8093-ACB6-467E-AD0B-D217BB6E9A90}"/>
  </bookViews>
  <sheets>
    <sheet name="APP" sheetId="1" r:id="rId1"/>
    <sheet name="BAS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D14" i="1"/>
  <c r="C24" i="1"/>
  <c r="D24" i="1" s="1"/>
  <c r="D20" i="1"/>
  <c r="D21" i="1" s="1"/>
  <c r="C25" i="1"/>
  <c r="D25" i="1" s="1"/>
  <c r="C26" i="1"/>
  <c r="D26" i="1" s="1"/>
  <c r="C27" i="1"/>
  <c r="D27" i="1" s="1"/>
  <c r="C28" i="1"/>
  <c r="D28" i="1" s="1"/>
  <c r="D41" i="1" l="1"/>
</calcChain>
</file>

<file path=xl/sharedStrings.xml><?xml version="1.0" encoding="utf-8"?>
<sst xmlns="http://schemas.openxmlformats.org/spreadsheetml/2006/main" count="87" uniqueCount="51">
  <si>
    <t>CONFIGURAÇÕES</t>
  </si>
  <si>
    <t>Salario</t>
  </si>
  <si>
    <t>rendimento carteira</t>
  </si>
  <si>
    <t>Sugestão de investimento (30%)</t>
  </si>
  <si>
    <t>INVESTIMENTO MENSAL</t>
  </si>
  <si>
    <t xml:space="preserve">Quanto investir por mês? </t>
  </si>
  <si>
    <t>Por quantos anos ?</t>
  </si>
  <si>
    <t>Taxa de rendimento mensal?</t>
  </si>
  <si>
    <t>Patrimônio acumulado?</t>
  </si>
  <si>
    <t>Dividendos mensais?</t>
  </si>
  <si>
    <t>CENARIOS</t>
  </si>
  <si>
    <t>DIVIDENDO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</si>
  <si>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</si>
  <si>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</si>
  <si>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</si>
  <si>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</si>
  <si>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</si>
  <si>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</si>
  <si>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</si>
  <si>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</si>
  <si>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</si>
  <si>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</si>
  <si>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</si>
  <si>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</si>
  <si>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</si>
  <si>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</si>
  <si>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</si>
  <si>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</si>
  <si>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</si>
  <si>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</si>
  <si>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</si>
  <si>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Conservador-PAPEL</t>
  </si>
  <si>
    <t>Conservador</t>
  </si>
  <si>
    <t>Conservador-TIJOLO</t>
  </si>
  <si>
    <t>Conservador-HÍBRIDOS</t>
  </si>
  <si>
    <t>Conservador-FOFs</t>
  </si>
  <si>
    <t>Conservador-DESENVOLVIMENTO</t>
  </si>
  <si>
    <t>Conservador-HOTELARIAS</t>
  </si>
  <si>
    <t>Moderado-PAPEL</t>
  </si>
  <si>
    <t>Moderado</t>
  </si>
  <si>
    <t>Moderado-TIJOLO</t>
  </si>
  <si>
    <t>Moderado-HÍBRIDOS</t>
  </si>
  <si>
    <t>Moderado-FOFs</t>
  </si>
  <si>
    <t>Moderado-DESENVOLVIMENTO</t>
  </si>
  <si>
    <t>Moderado-HOTELARIAS</t>
  </si>
  <si>
    <t>Agressivo-PAPEL</t>
  </si>
  <si>
    <t>Agressivo-TIJOLO</t>
  </si>
  <si>
    <t>Agressivo-HÍBRIDOS</t>
  </si>
  <si>
    <t>Agressivo-FOFs</t>
  </si>
  <si>
    <t>Agressivo-DESENVOLVIMENTO</t>
  </si>
  <si>
    <t>Agressivo-HOTELARIAS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</si>
</sst>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_-[$R$-416]\ * #,##0.00_-;\-[$R$-416]\ * #,##0.00_-;_-[$R$-416]\ * &quot;-&quot;??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 tint="0.34998626667073579"/>
      <name val="Calibri"/>
      <family val="2"/>
      <scheme val="minor"/>
    </font>
    <font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1"/>
      <color rgb="FF9C5700"/>
      <name val="Aptos Narrow"/>
      <family val="2"/>
    </font>
    <font>
      <b/>
      <sz val="11"/>
      <color rgb="FF000000"/>
      <name val="Aptos Narrow"/>
      <family val="2"/>
    </font>
    <font>
      <sz val="11"/>
      <color rgb="FF242424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DADAD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0" fillId="3" borderId="4" xfId="0" applyFill="1" applyBorder="1"/>
    <xf numFmtId="165" fontId="0" fillId="0" borderId="0" xfId="0" applyNumberFormat="1"/>
    <xf numFmtId="0" fontId="2" fillId="0" borderId="0" xfId="0" applyFont="1"/>
    <xf numFmtId="8" fontId="0" fillId="3" borderId="6" xfId="0" applyNumberFormat="1" applyFill="1" applyBorder="1"/>
    <xf numFmtId="8" fontId="0" fillId="3" borderId="7" xfId="0" applyNumberFormat="1" applyFill="1" applyBorder="1"/>
    <xf numFmtId="0" fontId="3" fillId="2" borderId="8" xfId="0" applyFont="1" applyFill="1" applyBorder="1" applyAlignment="1">
      <alignment horizontal="center" vertical="center"/>
    </xf>
    <xf numFmtId="0" fontId="0" fillId="3" borderId="9" xfId="0" applyFill="1" applyBorder="1"/>
    <xf numFmtId="0" fontId="0" fillId="3" borderId="10" xfId="0" applyFill="1" applyBorder="1"/>
    <xf numFmtId="8" fontId="0" fillId="3" borderId="12" xfId="0" applyNumberFormat="1" applyFill="1" applyBorder="1"/>
    <xf numFmtId="8" fontId="0" fillId="3" borderId="13" xfId="0" applyNumberFormat="1" applyFill="1" applyBorder="1"/>
    <xf numFmtId="164" fontId="0" fillId="0" borderId="5" xfId="0" applyNumberFormat="1" applyBorder="1"/>
    <xf numFmtId="8" fontId="0" fillId="3" borderId="3" xfId="0" applyNumberFormat="1" applyFill="1" applyBorder="1"/>
    <xf numFmtId="10" fontId="0" fillId="0" borderId="11" xfId="0" applyNumberFormat="1" applyBorder="1"/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9" fontId="6" fillId="0" borderId="0" xfId="0" applyNumberFormat="1" applyFont="1" applyAlignment="1">
      <alignment horizontal="center"/>
    </xf>
    <xf numFmtId="0" fontId="6" fillId="0" borderId="14" xfId="0" applyFont="1" applyBorder="1"/>
    <xf numFmtId="0" fontId="6" fillId="0" borderId="14" xfId="0" applyFont="1" applyBorder="1" applyAlignment="1">
      <alignment horizontal="center"/>
    </xf>
    <xf numFmtId="9" fontId="6" fillId="0" borderId="14" xfId="0" applyNumberFormat="1" applyFont="1" applyBorder="1" applyAlignment="1">
      <alignment horizontal="center"/>
    </xf>
    <xf numFmtId="0" fontId="0" fillId="6" borderId="0" xfId="0" applyFill="1"/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8" fillId="8" borderId="0" xfId="0" applyFont="1" applyFill="1"/>
    <xf numFmtId="8" fontId="8" fillId="8" borderId="0" xfId="0" applyNumberFormat="1" applyFont="1" applyFill="1" applyAlignment="1">
      <alignment horizontal="center"/>
    </xf>
    <xf numFmtId="0" fontId="8" fillId="9" borderId="0" xfId="0" applyFont="1" applyFill="1" applyAlignment="1">
      <alignment horizontal="center"/>
    </xf>
    <xf numFmtId="8" fontId="6" fillId="8" borderId="0" xfId="0" applyNumberFormat="1" applyFont="1" applyFill="1" applyAlignment="1">
      <alignment horizontal="center"/>
    </xf>
    <xf numFmtId="0" fontId="8" fillId="9" borderId="0" xfId="0" applyFont="1" applyFill="1"/>
    <xf numFmtId="8" fontId="8" fillId="9" borderId="0" xfId="0" applyNumberFormat="1" applyFont="1" applyFill="1" applyAlignment="1">
      <alignment horizontal="center"/>
    </xf>
    <xf numFmtId="164" fontId="0" fillId="0" borderId="11" xfId="1" applyNumberFormat="1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10" fontId="0" fillId="0" borderId="11" xfId="0" applyNumberFormat="1" applyBorder="1" applyAlignment="1">
      <alignment horizontal="center"/>
    </xf>
    <xf numFmtId="8" fontId="0" fillId="3" borderId="11" xfId="0" applyNumberFormat="1" applyFill="1" applyBorder="1" applyAlignment="1">
      <alignment horizontal="center"/>
    </xf>
    <xf numFmtId="8" fontId="0" fillId="3" borderId="5" xfId="0" applyNumberFormat="1" applyFill="1" applyBorder="1" applyAlignment="1">
      <alignment horizontal="center"/>
    </xf>
    <xf numFmtId="164" fontId="0" fillId="0" borderId="11" xfId="0" applyNumberFormat="1" applyBorder="1"/>
    <xf numFmtId="0" fontId="0" fillId="4" borderId="0" xfId="0" applyFill="1"/>
    <xf numFmtId="9" fontId="9" fillId="0" borderId="0" xfId="2" applyFont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DD6-4E0A-8110-5ECBFE24F8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DD6-4E0A-8110-5ECBFE24F8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DD6-4E0A-8110-5ECBFE24F8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DD6-4E0A-8110-5ECBFE24F8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DD6-4E0A-8110-5ECBFE24F87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DD6-4E0A-8110-5ECBFE24F8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APP!$C$35:$C$40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8-45A9-965C-DAB7D7EED9DD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DD6-4E0A-8110-5ECBFE24F8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DD6-4E0A-8110-5ECBFE24F8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DD6-4E0A-8110-5ECBFE24F8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DD6-4E0A-8110-5ECBFE24F8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DD6-4E0A-8110-5ECBFE24F87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DD6-4E0A-8110-5ECBFE24F871}"/>
              </c:ext>
            </c:extLst>
          </c:dPt>
          <c:cat>
            <c:strRef>
              <c:f>APP!$B$35:$B$40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APP!$D$35:$D$40</c:f>
              <c:numCache>
                <c:formatCode>"R$"#,##0.00_);[Red]\("R$"#,##0.00\)</c:formatCode>
                <c:ptCount val="6"/>
                <c:pt idx="0">
                  <c:v>150</c:v>
                </c:pt>
                <c:pt idx="1">
                  <c:v>30</c:v>
                </c:pt>
                <c:pt idx="2">
                  <c:v>15</c:v>
                </c:pt>
                <c:pt idx="3">
                  <c:v>15</c:v>
                </c:pt>
                <c:pt idx="4">
                  <c:v>60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78-45A9-965C-DAB7D7EED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124885</xdr:colOff>
      <xdr:row>0</xdr:row>
      <xdr:rowOff>158750</xdr:rowOff>
    </xdr:from>
    <xdr:to>
      <xdr:col>4</xdr:col>
      <xdr:colOff>108410</xdr:colOff>
      <xdr:row>9</xdr:row>
      <xdr:rowOff>84668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971AE56-DF30-43CA-A894-6D548180E3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346" b="33272"/>
        <a:stretch/>
      </xdr:blipFill>
      <xdr:spPr>
        <a:xfrm>
          <a:off x="124885" y="158750"/>
          <a:ext cx="5677358" cy="1640418"/>
        </a:xfrm>
        <a:prstGeom prst="rect">
          <a:avLst/>
        </a:prstGeom>
      </xdr:spPr>
    </xdr:pic>
    <xdr:clientData/>
  </xdr:twoCellAnchor>
  <xdr:twoCellAnchor>
    <xdr:from>
      <xdr:col>1</xdr:col>
      <xdr:colOff>63500</xdr:colOff>
      <xdr:row>41</xdr:row>
      <xdr:rowOff>78316</xdr:rowOff>
    </xdr:from>
    <xdr:to>
      <xdr:col>4</xdr:col>
      <xdr:colOff>52917</xdr:colOff>
      <xdr:row>56</xdr:row>
      <xdr:rowOff>31749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300E52E-54AD-4058-9E46-665E35C619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BCD44E-CB2C-4802-9266-2FF24E126CBF}" name="Tabela1" displayName="Tabela1" ref="A2:D20" totalsRowShown="0">
  <autoFilter ref="A2:D20" xr:uid="{58BCD44E-CB2C-4802-9266-2FF24E126CBF}"/>
  <tableColumns count="4">
    <tableColumn id="1" xr3:uid="{D6608773-62A1-46AD-A10B-F4920912B298}" name="CHAVE" dataDxfId="3"/>
    <tableColumn id="2" xr3:uid="{D39840E8-AA2F-4A2C-85A2-9773F1676C8E}" name="PERFIL" dataDxfId="2"/>
    <tableColumn id="3" xr3:uid="{49B2CB74-C3FB-43CE-8252-8331B501E734}" name="TIPO DE FII" dataDxfId="1"/>
    <tableColumn id="4" xr3:uid="{03B6CF4C-9D72-4138-95D0-571428491A79}" name="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9CC6-C363-451E-841C-410A1B8E8F06}">
  <dimension ref="A1:L59"/>
  <sheetViews>
    <sheetView showGridLines="0" tabSelected="1" zoomScale="90" zoomScaleNormal="90" workbookViewId="0">
      <selection activeCell="G36" sqref="G36"/>
    </sheetView>
  </sheetViews>
  <sheetFormatPr defaultColWidth="0" defaultRowHeight="15" zeroHeight="1"/>
  <cols>
    <col min="1" max="1" width="3.140625" customWidth="1"/>
    <col min="2" max="2" width="31.5703125" customWidth="1"/>
    <col min="3" max="3" width="30.5703125" customWidth="1"/>
    <col min="4" max="4" width="20" customWidth="1"/>
    <col min="5" max="5" width="15.85546875" customWidth="1"/>
    <col min="6" max="6" width="4.28515625" customWidth="1"/>
    <col min="7" max="7" width="8.140625" customWidth="1"/>
    <col min="8" max="8" width="9.140625" hidden="1" customWidth="1"/>
    <col min="9" max="12" width="0" hidden="1" customWidth="1"/>
    <col min="13" max="16384" width="9.140625" hidden="1"/>
  </cols>
  <sheetData>
    <row r="1" spans="2:11"/>
    <row r="2" spans="2:11"/>
    <row r="3" spans="2:11"/>
    <row r="4" spans="2:11"/>
    <row r="5" spans="2:11"/>
    <row r="6" spans="2:11"/>
    <row r="7" spans="2:11"/>
    <row r="8" spans="2:11"/>
    <row r="9" spans="2:11"/>
    <row r="10" spans="2:11" ht="19.5" customHeight="1" thickBot="1">
      <c r="K10" s="5"/>
    </row>
    <row r="11" spans="2:11" ht="23.25">
      <c r="B11" s="42" t="s">
        <v>0</v>
      </c>
      <c r="C11" s="43"/>
      <c r="D11" s="44"/>
      <c r="K11" s="5"/>
    </row>
    <row r="12" spans="2:11">
      <c r="B12" s="52" t="s">
        <v>1</v>
      </c>
      <c r="C12" s="53"/>
      <c r="D12" s="39">
        <v>2000</v>
      </c>
      <c r="K12" s="5"/>
    </row>
    <row r="13" spans="2:11">
      <c r="B13" s="52" t="s">
        <v>2</v>
      </c>
      <c r="C13" s="53"/>
      <c r="D13" s="16">
        <v>6.0000000000000001E-3</v>
      </c>
      <c r="K13" s="5"/>
    </row>
    <row r="14" spans="2:11" ht="15.75" thickBot="1">
      <c r="B14" s="54" t="s">
        <v>3</v>
      </c>
      <c r="C14" s="55"/>
      <c r="D14" s="14">
        <f>D12*30%</f>
        <v>600</v>
      </c>
      <c r="K14" s="5"/>
    </row>
    <row r="15" spans="2:11" ht="15.75" thickBot="1">
      <c r="K15" s="5"/>
    </row>
    <row r="16" spans="2:11" s="1" customFormat="1" ht="29.25" customHeight="1">
      <c r="B16" s="45" t="s">
        <v>4</v>
      </c>
      <c r="C16" s="46"/>
      <c r="D16" s="47"/>
    </row>
    <row r="17" spans="1:4">
      <c r="B17" s="48" t="s">
        <v>5</v>
      </c>
      <c r="C17" s="49"/>
      <c r="D17" s="34">
        <v>200</v>
      </c>
    </row>
    <row r="18" spans="1:4">
      <c r="B18" s="48" t="s">
        <v>6</v>
      </c>
      <c r="C18" s="49"/>
      <c r="D18" s="35">
        <v>5</v>
      </c>
    </row>
    <row r="19" spans="1:4">
      <c r="B19" s="48" t="s">
        <v>7</v>
      </c>
      <c r="C19" s="49"/>
      <c r="D19" s="36">
        <v>1.0789999999999999E-2</v>
      </c>
    </row>
    <row r="20" spans="1:4">
      <c r="B20" s="48" t="s">
        <v>8</v>
      </c>
      <c r="C20" s="49"/>
      <c r="D20" s="37">
        <f>FV(D19,D18*12,D17*-1)</f>
        <v>16755.382799697527</v>
      </c>
    </row>
    <row r="21" spans="1:4" ht="15.75" thickBot="1">
      <c r="B21" s="50" t="s">
        <v>9</v>
      </c>
      <c r="C21" s="51"/>
      <c r="D21" s="38">
        <f>D20*D13</f>
        <v>100.53229679818516</v>
      </c>
    </row>
    <row r="22" spans="1:4" ht="15.75" thickBot="1"/>
    <row r="23" spans="1:4" ht="23.25">
      <c r="B23" s="2" t="s">
        <v>10</v>
      </c>
      <c r="C23" s="9"/>
      <c r="D23" s="3" t="s">
        <v>11</v>
      </c>
    </row>
    <row r="24" spans="1:4">
      <c r="A24" s="6">
        <v>2</v>
      </c>
      <c r="B24" s="10" t="s">
        <v>12</v>
      </c>
      <c r="C24" s="7">
        <f>FV($D$19,$A24*12,$D$17*-1)</f>
        <v>5445.5254595290435</v>
      </c>
      <c r="D24" s="13">
        <f>C24*$D$13</f>
        <v>32.673152757174265</v>
      </c>
    </row>
    <row r="25" spans="1:4">
      <c r="A25" s="6">
        <v>5</v>
      </c>
      <c r="B25" s="11" t="s">
        <v>13</v>
      </c>
      <c r="C25" s="8">
        <f>FV($D$19,$A25*12,$D$17*-1)</f>
        <v>16755.382799697527</v>
      </c>
      <c r="D25" s="13">
        <f>C25*$D$13</f>
        <v>100.53229679818516</v>
      </c>
    </row>
    <row r="26" spans="1:4">
      <c r="A26" s="6">
        <v>10</v>
      </c>
      <c r="B26" s="11" t="s">
        <v>14</v>
      </c>
      <c r="C26" s="8">
        <f>FV($D$19,$A26*12,$D$17*-1)</f>
        <v>48656.842506034438</v>
      </c>
      <c r="D26" s="13">
        <f>C26*$D$13</f>
        <v>291.94105503620665</v>
      </c>
    </row>
    <row r="27" spans="1:4">
      <c r="A27" s="6">
        <v>20</v>
      </c>
      <c r="B27" s="11" t="s">
        <v>15</v>
      </c>
      <c r="C27" s="8">
        <f>FV($D$19,$A27*12,$D$17*-1)</f>
        <v>225039.68001941612</v>
      </c>
      <c r="D27" s="13">
        <f>C27*$D$13</f>
        <v>1350.2380801164968</v>
      </c>
    </row>
    <row r="28" spans="1:4" ht="15.75" thickBot="1">
      <c r="A28" s="6">
        <v>30</v>
      </c>
      <c r="B28" s="4" t="s">
        <v>16</v>
      </c>
      <c r="C28" s="12">
        <f>FV($D$19,$A28*12,$D$17*-1)</f>
        <v>864433.93100094295</v>
      </c>
      <c r="D28" s="15">
        <f>C28*$D$13</f>
        <v>5186.6035860056581</v>
      </c>
    </row>
    <row r="29" spans="1:4"/>
    <row r="30" spans="1:4"/>
    <row r="31" spans="1:4">
      <c r="B31" s="26" t="s">
        <v>17</v>
      </c>
      <c r="C31" s="27"/>
      <c r="D31" s="27" t="s">
        <v>18</v>
      </c>
    </row>
    <row r="32" spans="1:4">
      <c r="B32" s="28" t="s">
        <v>19</v>
      </c>
      <c r="C32" s="29"/>
      <c r="D32" s="29">
        <v>300</v>
      </c>
    </row>
    <row r="33" spans="2:4">
      <c r="B33" s="19"/>
      <c r="C33" s="19"/>
    </row>
    <row r="34" spans="2:4">
      <c r="B34" s="30" t="s">
        <v>20</v>
      </c>
      <c r="C34" s="30" t="s">
        <v>21</v>
      </c>
      <c r="D34" s="30" t="s">
        <v>22</v>
      </c>
    </row>
    <row r="35" spans="2:4">
      <c r="B35" s="20" t="s">
        <v>23</v>
      </c>
      <c r="C35" s="41">
        <f>VLOOKUP($D$31&amp;"-"&amp;B35,Tabela1[#All],4,FALSE)</f>
        <v>0.5</v>
      </c>
      <c r="D35" s="31">
        <f>C35*$D$32</f>
        <v>150</v>
      </c>
    </row>
    <row r="36" spans="2:4">
      <c r="B36" s="20" t="s">
        <v>24</v>
      </c>
      <c r="C36" s="41">
        <f>VLOOKUP($D$31&amp;"-"&amp;B36,Tabela1[#All],4,FALSE)</f>
        <v>0.1</v>
      </c>
      <c r="D36" s="31">
        <f t="shared" ref="D36:D40" si="0">C36*$D$32</f>
        <v>30</v>
      </c>
    </row>
    <row r="37" spans="2:4">
      <c r="B37" s="20" t="s">
        <v>25</v>
      </c>
      <c r="C37" s="41">
        <f>VLOOKUP($D$31&amp;"-"&amp;B37,Tabela1[#All],4,FALSE)</f>
        <v>0.05</v>
      </c>
      <c r="D37" s="31">
        <f t="shared" si="0"/>
        <v>15</v>
      </c>
    </row>
    <row r="38" spans="2:4">
      <c r="B38" s="20" t="s">
        <v>26</v>
      </c>
      <c r="C38" s="41">
        <f>VLOOKUP($D$31&amp;"-"&amp;B38,Tabela1[#All],4,FALSE)</f>
        <v>0.05</v>
      </c>
      <c r="D38" s="31">
        <f t="shared" si="0"/>
        <v>15</v>
      </c>
    </row>
    <row r="39" spans="2:4">
      <c r="B39" s="20" t="s">
        <v>27</v>
      </c>
      <c r="C39" s="41">
        <f>VLOOKUP($D$31&amp;"-"&amp;B39,Tabela1[#All],4,FALSE)</f>
        <v>0.2</v>
      </c>
      <c r="D39" s="31">
        <f t="shared" si="0"/>
        <v>60</v>
      </c>
    </row>
    <row r="40" spans="2:4">
      <c r="B40" s="20" t="s">
        <v>28</v>
      </c>
      <c r="C40" s="41">
        <f>VLOOKUP($D$31&amp;"-"&amp;B40,Tabela1[#All],4,FALSE)</f>
        <v>0.1</v>
      </c>
      <c r="D40" s="31">
        <f t="shared" si="0"/>
        <v>30</v>
      </c>
    </row>
    <row r="41" spans="2:4">
      <c r="B41" s="32"/>
      <c r="C41" s="32"/>
      <c r="D41" s="33">
        <f>SUM(D35:D40)</f>
        <v>300</v>
      </c>
    </row>
    <row r="42" spans="2:4"/>
    <row r="43" spans="2:4"/>
    <row r="44" spans="2:4"/>
    <row r="45" spans="2:4"/>
    <row r="46" spans="2:4"/>
    <row r="47" spans="2:4"/>
    <row r="48" spans="2:4"/>
    <row r="49"/>
    <row r="50"/>
    <row r="51"/>
    <row r="52"/>
    <row r="53"/>
    <row r="54"/>
    <row r="55"/>
    <row r="56"/>
    <row r="57"/>
    <row r="58"/>
    <row r="59"/>
  </sheetData>
  <mergeCells count="10">
    <mergeCell ref="B20:C20"/>
    <mergeCell ref="B21:C21"/>
    <mergeCell ref="B12:C12"/>
    <mergeCell ref="B13:C13"/>
    <mergeCell ref="B14:C14"/>
    <mergeCell ref="B11:D11"/>
    <mergeCell ref="B16:D16"/>
    <mergeCell ref="B17:C17"/>
    <mergeCell ref="B18:C18"/>
    <mergeCell ref="B19:C19"/>
  </mergeCells>
  <dataValidations count="1">
    <dataValidation type="list" allowBlank="1" showInputMessage="1" showErrorMessage="1" sqref="D31" xr:uid="{E37759C2-03A3-41E4-970B-D8B9981A7023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14942-A971-482A-A404-5DBB709F6230}">
  <dimension ref="A1:H20"/>
  <sheetViews>
    <sheetView showGridLines="0" workbookViewId="0">
      <selection activeCell="E1" sqref="E1"/>
    </sheetView>
  </sheetViews>
  <sheetFormatPr defaultColWidth="0" defaultRowHeight="15" zeroHeight="1"/>
  <cols>
    <col min="1" max="1" width="35.140625" bestFit="1" customWidth="1"/>
    <col min="2" max="2" width="17.85546875" customWidth="1"/>
    <col min="3" max="3" width="17.42578125" customWidth="1"/>
    <col min="4" max="4" width="11.140625" customWidth="1"/>
    <col min="5" max="5" width="1.7109375" hidden="1" customWidth="1"/>
    <col min="6" max="6" width="22.7109375" hidden="1"/>
    <col min="7" max="8" width="9.140625" hidden="1"/>
  </cols>
  <sheetData>
    <row r="1" spans="1:7">
      <c r="A1" s="25"/>
      <c r="B1" s="25"/>
      <c r="C1" s="25"/>
      <c r="D1" s="25"/>
    </row>
    <row r="2" spans="1:7">
      <c r="A2" s="17" t="s">
        <v>29</v>
      </c>
      <c r="B2" s="17" t="s">
        <v>17</v>
      </c>
      <c r="C2" s="18" t="s">
        <v>20</v>
      </c>
      <c r="D2" s="18" t="s">
        <v>30</v>
      </c>
    </row>
    <row r="3" spans="1:7">
      <c r="A3" s="19" t="s">
        <v>31</v>
      </c>
      <c r="B3" s="19" t="s">
        <v>32</v>
      </c>
      <c r="C3" s="20" t="s">
        <v>23</v>
      </c>
      <c r="D3" s="21">
        <v>0.3</v>
      </c>
    </row>
    <row r="4" spans="1:7">
      <c r="A4" s="19" t="s">
        <v>33</v>
      </c>
      <c r="B4" s="19" t="s">
        <v>32</v>
      </c>
      <c r="C4" s="20" t="s">
        <v>24</v>
      </c>
      <c r="D4" s="21">
        <v>0.5</v>
      </c>
      <c r="F4" s="19"/>
    </row>
    <row r="5" spans="1:7">
      <c r="A5" s="19" t="s">
        <v>34</v>
      </c>
      <c r="B5" s="19" t="s">
        <v>32</v>
      </c>
      <c r="C5" s="20" t="s">
        <v>25</v>
      </c>
      <c r="D5" s="21">
        <v>0.1</v>
      </c>
      <c r="F5" s="26"/>
      <c r="G5" s="40"/>
    </row>
    <row r="6" spans="1:7">
      <c r="A6" s="19" t="s">
        <v>35</v>
      </c>
      <c r="B6" s="19" t="s">
        <v>32</v>
      </c>
      <c r="C6" s="20" t="s">
        <v>26</v>
      </c>
      <c r="D6" s="21">
        <v>0.1</v>
      </c>
    </row>
    <row r="7" spans="1:7">
      <c r="A7" s="19" t="s">
        <v>36</v>
      </c>
      <c r="B7" s="19" t="s">
        <v>32</v>
      </c>
      <c r="C7" s="20" t="s">
        <v>27</v>
      </c>
      <c r="D7" s="21">
        <v>0</v>
      </c>
    </row>
    <row r="8" spans="1:7" ht="15.75" thickBot="1">
      <c r="A8" s="22" t="s">
        <v>37</v>
      </c>
      <c r="B8" s="22" t="s">
        <v>32</v>
      </c>
      <c r="C8" s="23" t="s">
        <v>28</v>
      </c>
      <c r="D8" s="24">
        <v>0</v>
      </c>
    </row>
    <row r="9" spans="1:7">
      <c r="A9" s="19" t="s">
        <v>38</v>
      </c>
      <c r="B9" s="19" t="s">
        <v>39</v>
      </c>
      <c r="C9" s="20" t="s">
        <v>23</v>
      </c>
      <c r="D9" s="21">
        <v>0.32</v>
      </c>
    </row>
    <row r="10" spans="1:7">
      <c r="A10" s="19" t="s">
        <v>40</v>
      </c>
      <c r="B10" s="19" t="s">
        <v>39</v>
      </c>
      <c r="C10" s="20" t="s">
        <v>24</v>
      </c>
      <c r="D10" s="21">
        <v>0.35</v>
      </c>
    </row>
    <row r="11" spans="1:7">
      <c r="A11" s="19" t="s">
        <v>41</v>
      </c>
      <c r="B11" s="19" t="s">
        <v>39</v>
      </c>
      <c r="C11" s="20" t="s">
        <v>25</v>
      </c>
      <c r="D11" s="21">
        <v>0.08</v>
      </c>
    </row>
    <row r="12" spans="1:7">
      <c r="A12" s="19" t="s">
        <v>42</v>
      </c>
      <c r="B12" s="19" t="s">
        <v>39</v>
      </c>
      <c r="C12" s="20" t="s">
        <v>26</v>
      </c>
      <c r="D12" s="21">
        <v>0.05</v>
      </c>
    </row>
    <row r="13" spans="1:7">
      <c r="A13" s="19" t="s">
        <v>43</v>
      </c>
      <c r="B13" s="19" t="s">
        <v>39</v>
      </c>
      <c r="C13" s="20" t="s">
        <v>27</v>
      </c>
      <c r="D13" s="21">
        <v>0.1</v>
      </c>
    </row>
    <row r="14" spans="1:7" ht="15.75" thickBot="1">
      <c r="A14" s="22" t="s">
        <v>44</v>
      </c>
      <c r="B14" s="22" t="s">
        <v>39</v>
      </c>
      <c r="C14" s="23" t="s">
        <v>28</v>
      </c>
      <c r="D14" s="24">
        <v>0.1</v>
      </c>
    </row>
    <row r="15" spans="1:7">
      <c r="A15" s="19" t="s">
        <v>45</v>
      </c>
      <c r="B15" s="19" t="s">
        <v>18</v>
      </c>
      <c r="C15" s="20" t="s">
        <v>23</v>
      </c>
      <c r="D15" s="21">
        <v>0.5</v>
      </c>
    </row>
    <row r="16" spans="1:7">
      <c r="A16" s="19" t="s">
        <v>46</v>
      </c>
      <c r="B16" s="19" t="s">
        <v>18</v>
      </c>
      <c r="C16" s="20" t="s">
        <v>24</v>
      </c>
      <c r="D16" s="21">
        <v>0.1</v>
      </c>
    </row>
    <row r="17" spans="1:4">
      <c r="A17" s="19" t="s">
        <v>47</v>
      </c>
      <c r="B17" s="19" t="s">
        <v>18</v>
      </c>
      <c r="C17" s="20" t="s">
        <v>25</v>
      </c>
      <c r="D17" s="21">
        <v>0.05</v>
      </c>
    </row>
    <row r="18" spans="1:4">
      <c r="A18" s="19" t="s">
        <v>48</v>
      </c>
      <c r="B18" s="19" t="s">
        <v>18</v>
      </c>
      <c r="C18" s="20" t="s">
        <v>26</v>
      </c>
      <c r="D18" s="21">
        <v>0.05</v>
      </c>
    </row>
    <row r="19" spans="1:4">
      <c r="A19" s="19" t="s">
        <v>49</v>
      </c>
      <c r="B19" s="19" t="s">
        <v>18</v>
      </c>
      <c r="C19" s="20" t="s">
        <v>27</v>
      </c>
      <c r="D19" s="21">
        <v>0.2</v>
      </c>
    </row>
    <row r="20" spans="1:4">
      <c r="A20" s="19" t="s">
        <v>50</v>
      </c>
      <c r="B20" s="19" t="s">
        <v>18</v>
      </c>
      <c r="C20" s="20" t="s">
        <v>28</v>
      </c>
      <c r="D20" s="21">
        <v>0.1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Ricardo</dc:creator>
  <cp:keywords/>
  <dc:description/>
  <cp:lastModifiedBy>Carlos Ricardo</cp:lastModifiedBy>
  <cp:revision/>
  <dcterms:created xsi:type="dcterms:W3CDTF">2026-08-29T15:28:31Z</dcterms:created>
  <dcterms:modified xsi:type="dcterms:W3CDTF">2026-09-02T15:55:10Z</dcterms:modified>
  <cp:category/>
  <cp:contentStatus/>
</cp:coreProperties>
</file>